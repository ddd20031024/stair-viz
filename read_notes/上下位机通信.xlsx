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4055" activeTab="1"/>
  </bookViews>
  <sheets>
    <sheet name="寄存器列表" sheetId="1" r:id="rId1"/>
    <sheet name="通信协议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0C35E0D5F9FD45CEB48794A529DEE5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3085" y="857250"/>
          <a:ext cx="10877550" cy="11430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<sst xmlns="http://schemas.openxmlformats.org/spreadsheetml/2006/main" count="292" uniqueCount="204">
  <si>
    <t>地址</t>
  </si>
  <si>
    <t>读写</t>
  </si>
  <si>
    <t>位号</t>
  </si>
  <si>
    <t>0x00</t>
  </si>
  <si>
    <t>r/w</t>
  </si>
  <si>
    <t>底盘模式</t>
  </si>
  <si>
    <t>FOC电机使能</t>
  </si>
  <si>
    <t>有刷电机使能</t>
  </si>
  <si>
    <t>FOC电机控制模式</t>
  </si>
  <si>
    <t>有刷电机控制模式</t>
  </si>
  <si>
    <t>左前三角轮标零位</t>
  </si>
  <si>
    <t>右前三角轮标零位</t>
  </si>
  <si>
    <t>左后三角轮标零位</t>
  </si>
  <si>
    <t>右后三角轮标零位</t>
  </si>
  <si>
    <t>驱动轮ID0角度清零</t>
  </si>
  <si>
    <t>驱动轮ID1角度清零</t>
  </si>
  <si>
    <t>驱动轮ID2角度清零</t>
  </si>
  <si>
    <t>驱动轮ID3角度清零</t>
  </si>
  <si>
    <t>驱动轮ID4角度清零</t>
  </si>
  <si>
    <t>驱动轮ID5角度清零</t>
  </si>
  <si>
    <t>保留</t>
  </si>
  <si>
    <t>0x01</t>
  </si>
  <si>
    <t>闭环左驱动轮目标速度</t>
  </si>
  <si>
    <t>闭环右驱动轮目标速度</t>
  </si>
  <si>
    <t>电角度速度，是实际速度的16倍</t>
  </si>
  <si>
    <t>0x02</t>
  </si>
  <si>
    <t>闭环左驱动轮加速度</t>
  </si>
  <si>
    <t>闭环右驱动轮加速度</t>
  </si>
  <si>
    <t>0x03</t>
  </si>
  <si>
    <t>闭环左驱动轮Kp</t>
  </si>
  <si>
    <t>闭环左驱动轮Kd</t>
  </si>
  <si>
    <t>Kd小于0.03，不然悬空的轮会发疯</t>
  </si>
  <si>
    <t>0x04</t>
  </si>
  <si>
    <t>闭环右驱动轮Kp</t>
  </si>
  <si>
    <t>闭环右驱动轮Kd</t>
  </si>
  <si>
    <t>0x05</t>
  </si>
  <si>
    <t>闭环左驱动轮前馈扭矩</t>
  </si>
  <si>
    <t>闭环右驱动轮前馈扭矩</t>
  </si>
  <si>
    <t>0x06</t>
  </si>
  <si>
    <t>开环左驱动轮目标扭矩</t>
  </si>
  <si>
    <t>开环右驱动轮目标扭矩</t>
  </si>
  <si>
    <t>0x07</t>
  </si>
  <si>
    <t>闭环左前三角轮目标角度</t>
  </si>
  <si>
    <t>闭环右前三角轮目标角度</t>
  </si>
  <si>
    <t>0x08</t>
  </si>
  <si>
    <t>闭环左后三角轮目标角度</t>
  </si>
  <si>
    <t>闭环右后三角轮目标角度</t>
  </si>
  <si>
    <t>0x09</t>
  </si>
  <si>
    <t>开环左前三角轮目标占空比</t>
  </si>
  <si>
    <t>开环右前三角轮目标占空比</t>
  </si>
  <si>
    <t>0x10</t>
  </si>
  <si>
    <t>开环左后三角轮目标占空比</t>
  </si>
  <si>
    <t>开环右后三角轮目标占空比</t>
  </si>
  <si>
    <t>0x11</t>
  </si>
  <si>
    <t>r</t>
  </si>
  <si>
    <t>TOF1距离</t>
  </si>
  <si>
    <t>TOF1信号强度</t>
  </si>
  <si>
    <t>TOF1状态</t>
  </si>
  <si>
    <t>TOF1故障</t>
  </si>
  <si>
    <t>0x12</t>
  </si>
  <si>
    <t>TOF2距离</t>
  </si>
  <si>
    <t>TOF2信号强度</t>
  </si>
  <si>
    <t>TOF2状态</t>
  </si>
  <si>
    <t>TOF2故障</t>
  </si>
  <si>
    <t>0x13</t>
  </si>
  <si>
    <t>TOF3距离</t>
  </si>
  <si>
    <t>TOF3信号强度</t>
  </si>
  <si>
    <t>TOF3状态</t>
  </si>
  <si>
    <t>TOF3故障</t>
  </si>
  <si>
    <t>0x14</t>
  </si>
  <si>
    <t>TOF4距离</t>
  </si>
  <si>
    <t>TOF4信号强度</t>
  </si>
  <si>
    <t>TOF4状态</t>
  </si>
  <si>
    <t>TOF4故障</t>
  </si>
  <si>
    <t>0x15</t>
  </si>
  <si>
    <t>IMU四元数w</t>
  </si>
  <si>
    <t>0x16</t>
  </si>
  <si>
    <t>IMU四元数x</t>
  </si>
  <si>
    <t>0x17</t>
  </si>
  <si>
    <t>IMU四元数y</t>
  </si>
  <si>
    <t>0x18</t>
  </si>
  <si>
    <t>IMU四元数z</t>
  </si>
  <si>
    <t>0x19</t>
  </si>
  <si>
    <t>IMUyaw</t>
  </si>
  <si>
    <t>0x20</t>
  </si>
  <si>
    <t>IMUpitch</t>
  </si>
  <si>
    <t>0x21</t>
  </si>
  <si>
    <t>IMUroll</t>
  </si>
  <si>
    <t>0x22</t>
  </si>
  <si>
    <t>IMU角速度yaw</t>
  </si>
  <si>
    <t>0x23</t>
  </si>
  <si>
    <t>IMU角速度pitch</t>
  </si>
  <si>
    <t>0x24</t>
  </si>
  <si>
    <t>IMU角速度roll</t>
  </si>
  <si>
    <t>0x25</t>
  </si>
  <si>
    <t>IMU加速度x</t>
  </si>
  <si>
    <t>0x26</t>
  </si>
  <si>
    <t>IMU加速度y</t>
  </si>
  <si>
    <t>0x27</t>
  </si>
  <si>
    <t>IMU加速度z</t>
  </si>
  <si>
    <t>0x28</t>
  </si>
  <si>
    <t>IMU温度</t>
  </si>
  <si>
    <t>0x29</t>
  </si>
  <si>
    <t>左边驱动轮ID3当前扭矩</t>
  </si>
  <si>
    <t>左边驱动轮ID3当前速度</t>
  </si>
  <si>
    <t>0x30</t>
  </si>
  <si>
    <t>左边驱动轮ID3当前总角度</t>
  </si>
  <si>
    <t>0x31</t>
  </si>
  <si>
    <t>左边驱动轮ID4当前扭矩</t>
  </si>
  <si>
    <t>左边驱动轮ID4当前速度</t>
  </si>
  <si>
    <t>0x32</t>
  </si>
  <si>
    <t>左边驱动轮ID4当前总角度</t>
  </si>
  <si>
    <t>0x33</t>
  </si>
  <si>
    <t>左边驱动轮ID5当前扭矩</t>
  </si>
  <si>
    <t>左边驱动轮ID5当前速度</t>
  </si>
  <si>
    <t>0x34</t>
  </si>
  <si>
    <t>左边驱动轮ID5当前总角度</t>
  </si>
  <si>
    <t>0x35</t>
  </si>
  <si>
    <t>右边驱动轮ID0当前扭矩</t>
  </si>
  <si>
    <t>右边驱动轮ID0当前速度</t>
  </si>
  <si>
    <t>0x36</t>
  </si>
  <si>
    <t>右边驱动轮ID0当前总角度</t>
  </si>
  <si>
    <t>0x37</t>
  </si>
  <si>
    <t>右边驱动轮ID1当前扭矩</t>
  </si>
  <si>
    <t>右边驱动轮ID1当前速度</t>
  </si>
  <si>
    <t>0x38</t>
  </si>
  <si>
    <t>右边驱动轮ID1当前总角度</t>
  </si>
  <si>
    <t>0x39</t>
  </si>
  <si>
    <t>右边驱动轮ID2当前扭矩</t>
  </si>
  <si>
    <t>右边驱动轮ID2当前速度</t>
  </si>
  <si>
    <t>0x40</t>
  </si>
  <si>
    <t>右边驱动轮ID2当前总角度</t>
  </si>
  <si>
    <t>0x41</t>
  </si>
  <si>
    <t>左前三角轮当前角度</t>
  </si>
  <si>
    <t>右前三角轮当前角度</t>
  </si>
  <si>
    <t>0x42</t>
  </si>
  <si>
    <t>左后三角轮当前角度</t>
  </si>
  <si>
    <t>右后三角轮当前角度</t>
  </si>
  <si>
    <t>0x43</t>
  </si>
  <si>
    <t>左前三角轮当前占空比</t>
  </si>
  <si>
    <t>右前三角轮当前占空比</t>
  </si>
  <si>
    <t>0x44</t>
  </si>
  <si>
    <t>左后三角轮当前占空比</t>
  </si>
  <si>
    <t>右后三角轮当前占空比</t>
  </si>
  <si>
    <t>0x45</t>
  </si>
  <si>
    <t>左前加速度计x</t>
  </si>
  <si>
    <t>0x46</t>
  </si>
  <si>
    <t>左前加速度计y</t>
  </si>
  <si>
    <t>0x47</t>
  </si>
  <si>
    <t>左前加速度计z</t>
  </si>
  <si>
    <t>0x48</t>
  </si>
  <si>
    <t>右前加速度计x</t>
  </si>
  <si>
    <t>0x49</t>
  </si>
  <si>
    <t>右前加速度计y</t>
  </si>
  <si>
    <t>0x50</t>
  </si>
  <si>
    <t>右前加速度计z</t>
  </si>
  <si>
    <t>0x51</t>
  </si>
  <si>
    <t>左后加速度计x</t>
  </si>
  <si>
    <t>0x52</t>
  </si>
  <si>
    <t>左后加速度计y</t>
  </si>
  <si>
    <t>0x53</t>
  </si>
  <si>
    <t>左后加速度计z</t>
  </si>
  <si>
    <t>0x54</t>
  </si>
  <si>
    <t>右后加速度计x</t>
  </si>
  <si>
    <t>0x55</t>
  </si>
  <si>
    <t>右后加速度计y</t>
  </si>
  <si>
    <t>0x56</t>
  </si>
  <si>
    <t>右后加速度计z</t>
  </si>
  <si>
    <t>0x57</t>
  </si>
  <si>
    <t>驱动轮ID0在线</t>
  </si>
  <si>
    <t>驱动轮ID1在线</t>
  </si>
  <si>
    <t>驱动轮ID2在线</t>
  </si>
  <si>
    <t>驱动轮ID3在线</t>
  </si>
  <si>
    <t>驱动轮ID4在线</t>
  </si>
  <si>
    <t>驱动轮ID5在线</t>
  </si>
  <si>
    <t>左前加速度计在线</t>
  </si>
  <si>
    <t>右前加速度计在线</t>
  </si>
  <si>
    <t>左后加速度计在线</t>
  </si>
  <si>
    <t>右后加速度计在线</t>
  </si>
  <si>
    <t>TOF1在线</t>
  </si>
  <si>
    <t>TOF2在线</t>
  </si>
  <si>
    <t>TOF3在线</t>
  </si>
  <si>
    <t>TOF4在线</t>
  </si>
  <si>
    <t>DBUS在线</t>
  </si>
  <si>
    <t>部分内容说明</t>
  </si>
  <si>
    <t>寄存器</t>
  </si>
  <si>
    <t>功能</t>
  </si>
  <si>
    <t>说明</t>
  </si>
  <si>
    <t>全局配置
（仅改寄存器可在任何模式下写入和读取，其他寄存器仅可在从机模式下读写）</t>
  </si>
  <si>
    <t xml:space="preserve">000：安全模式；001：开环模式；010：闭环模式；011：从机模式
</t>
  </si>
  <si>
    <t>/</t>
  </si>
  <si>
    <t>驱动轮速度</t>
  </si>
  <si>
    <t>单位为rad/s</t>
  </si>
  <si>
    <t>驱动轮角度</t>
  </si>
  <si>
    <t>单位为rad，表示驱动轮转过的总角度，可用于当里程计</t>
  </si>
  <si>
    <t>三角轮目标占空比</t>
  </si>
  <si>
    <t>范围-1到1，整数时正转，负数时反转</t>
  </si>
  <si>
    <t>通信协议</t>
  </si>
  <si>
    <t>为保证通信可靠性、扩展性、一致性，推荐参考TI的FlexWire协议，并进行部分修改。
FlexWire协议以UART为主体，CAN为物理层；此处我们可以先仅采用UART直连方案，后续若增加通信线距离时可以采用CAN为物理层的方案，仅需要改变硬件结构而不需要修改任何代码。</t>
  </si>
  <si>
    <t>FlexWire协议如下：</t>
  </si>
  <si>
    <t>我们修改为：</t>
  </si>
  <si>
    <t>RX：SYNC—START—REG_ADDR—LEN—CRC</t>
  </si>
  <si>
    <t>TX：DATA1—DATAn—CRC</t>
  </si>
  <si>
    <t>修改点：取消设备地址段，增加读取长度，以便一次性读取多个寄存器，减少通信开销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</si>
</sst>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15">
      <alignment vertical="center"/>
    </xf>
    <xf numFmtId="0" fontId="8" fillId="0" borderId="15">
      <alignment vertical="center"/>
    </xf>
    <xf numFmtId="0" fontId="9" fillId="0" borderId="16">
      <alignment vertical="center"/>
    </xf>
    <xf numFmtId="0" fontId="9" fillId="0" borderId="0">
      <alignment vertical="center"/>
    </xf>
    <xf numFmtId="0" fontId="10" fillId="4" borderId="17">
      <alignment vertical="center"/>
    </xf>
    <xf numFmtId="0" fontId="11" fillId="5" borderId="18">
      <alignment vertical="center"/>
    </xf>
    <xf numFmtId="0" fontId="12" fillId="5" borderId="17">
      <alignment vertical="center"/>
    </xf>
    <xf numFmtId="0" fontId="13" fillId="6" borderId="19">
      <alignment vertical="center"/>
    </xf>
    <xf numFmtId="0" fontId="14" fillId="0" borderId="20">
      <alignment vertical="center"/>
    </xf>
    <xf numFmtId="0" fontId="15" fillId="0" borderId="21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I67"/>
  <sheetViews>
    <sheetView workbookViewId="0">
      <selection activeCell="C26" sqref="C26:AH26"/>
    </sheetView>
  </sheetViews>
  <sheetFormatPr defaultColWidth="9" defaultRowHeight="13.5"/>
  <sheetData>
    <row r="1" spans="1:34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A2" s="1"/>
      <c r="B2" s="1"/>
      <c r="C2" s="22">
        <v>31</v>
      </c>
      <c r="D2" s="22">
        <v>30</v>
      </c>
      <c r="E2" s="22">
        <v>29</v>
      </c>
      <c r="F2" s="22">
        <v>28</v>
      </c>
      <c r="G2" s="22">
        <v>27</v>
      </c>
      <c r="H2" s="22">
        <v>26</v>
      </c>
      <c r="I2" s="22">
        <v>25</v>
      </c>
      <c r="J2" s="22">
        <v>24</v>
      </c>
      <c r="K2" s="22">
        <v>23</v>
      </c>
      <c r="L2" s="22">
        <v>22</v>
      </c>
      <c r="M2" s="22">
        <v>21</v>
      </c>
      <c r="N2" s="22">
        <v>20</v>
      </c>
      <c r="O2" s="22">
        <v>19</v>
      </c>
      <c r="P2" s="22">
        <v>18</v>
      </c>
      <c r="Q2" s="22">
        <v>17</v>
      </c>
      <c r="R2" s="22">
        <v>16</v>
      </c>
      <c r="S2" s="22">
        <v>15</v>
      </c>
      <c r="T2" s="22">
        <v>14</v>
      </c>
      <c r="U2" s="22">
        <v>13</v>
      </c>
      <c r="V2" s="22">
        <v>12</v>
      </c>
      <c r="W2" s="22">
        <v>11</v>
      </c>
      <c r="X2" s="22">
        <v>10</v>
      </c>
      <c r="Y2" s="22">
        <v>9</v>
      </c>
      <c r="Z2" s="22">
        <v>8</v>
      </c>
      <c r="AA2" s="22">
        <v>7</v>
      </c>
      <c r="AB2" s="22">
        <v>6</v>
      </c>
      <c r="AC2" s="22">
        <v>5</v>
      </c>
      <c r="AD2" s="22">
        <v>4</v>
      </c>
      <c r="AE2" s="22">
        <v>3</v>
      </c>
      <c r="AF2" s="22">
        <v>2</v>
      </c>
      <c r="AG2" s="22">
        <v>1</v>
      </c>
      <c r="AH2" s="22">
        <v>0</v>
      </c>
    </row>
    <row r="3" ht="40.5" spans="1:34">
      <c r="A3" s="3" t="s">
        <v>3</v>
      </c>
      <c r="B3" s="3" t="s">
        <v>4</v>
      </c>
      <c r="C3" s="23" t="s">
        <v>5</v>
      </c>
      <c r="D3" s="23"/>
      <c r="E3" s="23"/>
      <c r="F3" s="2" t="s">
        <v>6</v>
      </c>
      <c r="G3" s="2" t="s">
        <v>7</v>
      </c>
      <c r="H3" s="24" t="s">
        <v>8</v>
      </c>
      <c r="I3" s="24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20</v>
      </c>
    </row>
    <row r="4" spans="1:35">
      <c r="A4" s="3" t="s">
        <v>21</v>
      </c>
      <c r="B4" s="3" t="s">
        <v>4</v>
      </c>
      <c r="C4" s="25" t="s">
        <v>22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 t="s">
        <v>23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t="s">
        <v>24</v>
      </c>
    </row>
    <row r="5" spans="1:34">
      <c r="A5" s="3" t="s">
        <v>25</v>
      </c>
      <c r="B5" s="3" t="s">
        <v>4</v>
      </c>
      <c r="C5" s="25" t="s">
        <v>26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 t="s">
        <v>27</v>
      </c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</row>
    <row r="6" spans="1:35">
      <c r="A6" s="3" t="s">
        <v>28</v>
      </c>
      <c r="B6" s="3" t="s">
        <v>4</v>
      </c>
      <c r="C6" s="25" t="s">
        <v>29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 t="s">
        <v>30</v>
      </c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t="s">
        <v>31</v>
      </c>
    </row>
    <row r="7" spans="1:34">
      <c r="A7" s="3" t="s">
        <v>32</v>
      </c>
      <c r="B7" s="3" t="s">
        <v>4</v>
      </c>
      <c r="C7" s="25" t="s">
        <v>33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 t="s">
        <v>34</v>
      </c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</row>
    <row r="8" spans="1:34">
      <c r="A8" s="3" t="s">
        <v>35</v>
      </c>
      <c r="B8" s="3" t="s">
        <v>4</v>
      </c>
      <c r="C8" s="25" t="s">
        <v>36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 t="s">
        <v>37</v>
      </c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</row>
    <row r="9" spans="1:34">
      <c r="A9" s="3" t="s">
        <v>38</v>
      </c>
      <c r="B9" s="3" t="s">
        <v>4</v>
      </c>
      <c r="C9" s="25" t="s">
        <v>39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 t="s">
        <v>40</v>
      </c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</row>
    <row r="10" spans="1:34">
      <c r="A10" s="3" t="s">
        <v>41</v>
      </c>
      <c r="B10" s="3" t="s">
        <v>4</v>
      </c>
      <c r="C10" s="25" t="s">
        <v>42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 t="s">
        <v>43</v>
      </c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</row>
    <row r="11" spans="1:34">
      <c r="A11" s="3" t="s">
        <v>44</v>
      </c>
      <c r="B11" s="3" t="s">
        <v>4</v>
      </c>
      <c r="C11" s="25" t="s">
        <v>45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 t="s">
        <v>46</v>
      </c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</row>
    <row r="12" spans="1:34">
      <c r="A12" s="3" t="s">
        <v>47</v>
      </c>
      <c r="B12" s="3" t="s">
        <v>4</v>
      </c>
      <c r="C12" s="25" t="s">
        <v>48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 t="s">
        <v>49</v>
      </c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</row>
    <row r="13" spans="1:34">
      <c r="A13" s="3" t="s">
        <v>50</v>
      </c>
      <c r="B13" s="3" t="s">
        <v>4</v>
      </c>
      <c r="C13" s="25" t="s">
        <v>51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 t="s">
        <v>52</v>
      </c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</row>
    <row r="14" spans="1:34">
      <c r="A14" s="3" t="s">
        <v>53</v>
      </c>
      <c r="B14" s="3" t="s">
        <v>54</v>
      </c>
      <c r="C14" s="25" t="s">
        <v>55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 t="s">
        <v>56</v>
      </c>
      <c r="T14" s="25"/>
      <c r="U14" s="25"/>
      <c r="V14" s="25"/>
      <c r="W14" s="25"/>
      <c r="X14" s="25"/>
      <c r="Y14" s="25"/>
      <c r="Z14" s="25"/>
      <c r="AA14" s="12" t="s">
        <v>57</v>
      </c>
      <c r="AB14" s="13"/>
      <c r="AC14" s="13"/>
      <c r="AD14" s="20"/>
      <c r="AE14" s="12" t="s">
        <v>58</v>
      </c>
      <c r="AF14" s="13"/>
      <c r="AG14" s="13"/>
      <c r="AH14" s="20"/>
    </row>
    <row r="15" spans="1:34">
      <c r="A15" s="3" t="s">
        <v>59</v>
      </c>
      <c r="B15" s="3" t="s">
        <v>54</v>
      </c>
      <c r="C15" s="25" t="s">
        <v>60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 t="s">
        <v>61</v>
      </c>
      <c r="T15" s="25"/>
      <c r="U15" s="25"/>
      <c r="V15" s="25"/>
      <c r="W15" s="25"/>
      <c r="X15" s="25"/>
      <c r="Y15" s="25"/>
      <c r="Z15" s="25"/>
      <c r="AA15" s="12" t="s">
        <v>62</v>
      </c>
      <c r="AB15" s="13"/>
      <c r="AC15" s="13"/>
      <c r="AD15" s="20"/>
      <c r="AE15" s="12" t="s">
        <v>63</v>
      </c>
      <c r="AF15" s="13"/>
      <c r="AG15" s="13"/>
      <c r="AH15" s="20"/>
    </row>
    <row r="16" spans="1:34">
      <c r="A16" s="3" t="s">
        <v>64</v>
      </c>
      <c r="B16" s="3" t="s">
        <v>54</v>
      </c>
      <c r="C16" s="25" t="s">
        <v>65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 t="s">
        <v>66</v>
      </c>
      <c r="T16" s="25"/>
      <c r="U16" s="25"/>
      <c r="V16" s="25"/>
      <c r="W16" s="25"/>
      <c r="X16" s="25"/>
      <c r="Y16" s="25"/>
      <c r="Z16" s="25"/>
      <c r="AA16" s="12" t="s">
        <v>67</v>
      </c>
      <c r="AB16" s="13"/>
      <c r="AC16" s="13"/>
      <c r="AD16" s="20"/>
      <c r="AE16" s="12" t="s">
        <v>68</v>
      </c>
      <c r="AF16" s="13"/>
      <c r="AG16" s="13"/>
      <c r="AH16" s="20"/>
    </row>
    <row r="17" spans="1:34">
      <c r="A17" s="3" t="s">
        <v>69</v>
      </c>
      <c r="B17" s="3" t="s">
        <v>54</v>
      </c>
      <c r="C17" s="25" t="s">
        <v>70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 t="s">
        <v>71</v>
      </c>
      <c r="T17" s="25"/>
      <c r="U17" s="25"/>
      <c r="V17" s="25"/>
      <c r="W17" s="25"/>
      <c r="X17" s="25"/>
      <c r="Y17" s="25"/>
      <c r="Z17" s="25"/>
      <c r="AA17" s="12" t="s">
        <v>72</v>
      </c>
      <c r="AB17" s="13"/>
      <c r="AC17" s="13"/>
      <c r="AD17" s="20"/>
      <c r="AE17" s="12" t="s">
        <v>73</v>
      </c>
      <c r="AF17" s="13"/>
      <c r="AG17" s="13"/>
      <c r="AH17" s="20"/>
    </row>
    <row r="18" spans="1:34">
      <c r="A18" s="3" t="s">
        <v>74</v>
      </c>
      <c r="B18" s="3" t="s">
        <v>54</v>
      </c>
      <c r="C18" s="25" t="s">
        <v>75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>
      <c r="A19" s="3" t="s">
        <v>76</v>
      </c>
      <c r="B19" s="3" t="s">
        <v>54</v>
      </c>
      <c r="C19" s="25" t="s">
        <v>77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>
      <c r="A20" s="3" t="s">
        <v>78</v>
      </c>
      <c r="B20" s="3" t="s">
        <v>54</v>
      </c>
      <c r="C20" s="25" t="s">
        <v>79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>
      <c r="A21" s="3" t="s">
        <v>80</v>
      </c>
      <c r="B21" s="3" t="s">
        <v>54</v>
      </c>
      <c r="C21" s="25" t="s">
        <v>81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>
      <c r="A22" s="3" t="s">
        <v>82</v>
      </c>
      <c r="B22" s="3" t="s">
        <v>54</v>
      </c>
      <c r="C22" s="25" t="s">
        <v>83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>
      <c r="A23" s="3" t="s">
        <v>84</v>
      </c>
      <c r="B23" s="3" t="s">
        <v>54</v>
      </c>
      <c r="C23" s="25" t="s">
        <v>85</v>
      </c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>
      <c r="A24" s="3" t="s">
        <v>86</v>
      </c>
      <c r="B24" s="3" t="s">
        <v>54</v>
      </c>
      <c r="C24" s="25" t="s">
        <v>87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>
      <c r="A25" s="3" t="s">
        <v>88</v>
      </c>
      <c r="B25" s="3" t="s">
        <v>54</v>
      </c>
      <c r="C25" s="25" t="s">
        <v>89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>
      <c r="A26" s="3" t="s">
        <v>90</v>
      </c>
      <c r="B26" s="3" t="s">
        <v>54</v>
      </c>
      <c r="C26" s="25" t="s">
        <v>91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>
      <c r="A27" s="3" t="s">
        <v>92</v>
      </c>
      <c r="B27" s="3" t="s">
        <v>54</v>
      </c>
      <c r="C27" s="25" t="s">
        <v>93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>
      <c r="A28" s="3" t="s">
        <v>94</v>
      </c>
      <c r="B28" s="3" t="s">
        <v>54</v>
      </c>
      <c r="C28" s="25" t="s">
        <v>95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  <row r="29" spans="1:34">
      <c r="A29" s="3" t="s">
        <v>96</v>
      </c>
      <c r="B29" s="3" t="s">
        <v>54</v>
      </c>
      <c r="C29" s="25" t="s">
        <v>97</v>
      </c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</row>
    <row r="30" spans="1:34">
      <c r="A30" s="3" t="s">
        <v>98</v>
      </c>
      <c r="B30" s="3" t="s">
        <v>54</v>
      </c>
      <c r="C30" s="25" t="s">
        <v>99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</row>
    <row r="31" spans="1:34">
      <c r="A31" s="3" t="s">
        <v>100</v>
      </c>
      <c r="B31" s="3" t="s">
        <v>54</v>
      </c>
      <c r="C31" s="25" t="s">
        <v>101</v>
      </c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</row>
    <row r="32" spans="1:34">
      <c r="A32" s="3" t="s">
        <v>102</v>
      </c>
      <c r="B32" s="3" t="s">
        <v>54</v>
      </c>
      <c r="C32" s="25" t="s">
        <v>103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 t="s">
        <v>104</v>
      </c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</row>
    <row r="33" spans="1:34">
      <c r="A33" s="3" t="s">
        <v>105</v>
      </c>
      <c r="B33" s="3" t="s">
        <v>54</v>
      </c>
      <c r="C33" s="25" t="s">
        <v>106</v>
      </c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</row>
    <row r="34" spans="1:34">
      <c r="A34" s="3" t="s">
        <v>107</v>
      </c>
      <c r="B34" s="3" t="s">
        <v>54</v>
      </c>
      <c r="C34" s="25" t="s">
        <v>108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 t="s">
        <v>109</v>
      </c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</row>
    <row r="35" spans="1:34">
      <c r="A35" s="3" t="s">
        <v>110</v>
      </c>
      <c r="B35" s="3" t="s">
        <v>54</v>
      </c>
      <c r="C35" s="25" t="s">
        <v>111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36" spans="1:34">
      <c r="A36" s="3" t="s">
        <v>112</v>
      </c>
      <c r="B36" s="3" t="s">
        <v>54</v>
      </c>
      <c r="C36" s="25" t="s">
        <v>113</v>
      </c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 t="s">
        <v>114</v>
      </c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</row>
    <row r="37" spans="1:34">
      <c r="A37" s="3" t="s">
        <v>115</v>
      </c>
      <c r="B37" s="3" t="s">
        <v>54</v>
      </c>
      <c r="C37" s="25" t="s">
        <v>116</v>
      </c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</row>
    <row r="38" spans="1:34">
      <c r="A38" s="3" t="s">
        <v>117</v>
      </c>
      <c r="B38" s="3" t="s">
        <v>54</v>
      </c>
      <c r="C38" s="25" t="s">
        <v>118</v>
      </c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 t="s">
        <v>119</v>
      </c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</row>
    <row r="39" spans="1:34">
      <c r="A39" s="3" t="s">
        <v>120</v>
      </c>
      <c r="B39" s="3" t="s">
        <v>54</v>
      </c>
      <c r="C39" s="25" t="s">
        <v>121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</row>
    <row r="40" spans="1:34">
      <c r="A40" s="3" t="s">
        <v>122</v>
      </c>
      <c r="B40" s="3" t="s">
        <v>54</v>
      </c>
      <c r="C40" s="25" t="s">
        <v>123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 t="s">
        <v>124</v>
      </c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</row>
    <row r="41" spans="1:34">
      <c r="A41" s="3" t="s">
        <v>125</v>
      </c>
      <c r="B41" s="3" t="s">
        <v>54</v>
      </c>
      <c r="C41" s="25" t="s">
        <v>126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</row>
    <row r="42" spans="1:34">
      <c r="A42" s="3" t="s">
        <v>127</v>
      </c>
      <c r="B42" s="3" t="s">
        <v>54</v>
      </c>
      <c r="C42" s="25" t="s">
        <v>128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 t="s">
        <v>129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</row>
    <row r="43" spans="1:34">
      <c r="A43" s="3" t="s">
        <v>130</v>
      </c>
      <c r="B43" s="3" t="s">
        <v>54</v>
      </c>
      <c r="C43" s="25" t="s">
        <v>131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</row>
    <row r="44" spans="1:34">
      <c r="A44" s="3" t="s">
        <v>132</v>
      </c>
      <c r="B44" s="3" t="s">
        <v>54</v>
      </c>
      <c r="C44" s="25" t="s">
        <v>133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 t="s">
        <v>134</v>
      </c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</row>
    <row r="45" spans="1:34">
      <c r="A45" s="3" t="s">
        <v>135</v>
      </c>
      <c r="B45" s="3" t="s">
        <v>54</v>
      </c>
      <c r="C45" s="25" t="s">
        <v>136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 t="s">
        <v>137</v>
      </c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</row>
    <row r="46" spans="1:34">
      <c r="A46" s="3" t="s">
        <v>138</v>
      </c>
      <c r="B46" s="3" t="s">
        <v>54</v>
      </c>
      <c r="C46" s="25" t="s">
        <v>139</v>
      </c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 t="s">
        <v>140</v>
      </c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</row>
    <row r="47" spans="1:34">
      <c r="A47" s="3" t="s">
        <v>141</v>
      </c>
      <c r="B47" s="3" t="s">
        <v>54</v>
      </c>
      <c r="C47" s="25" t="s">
        <v>142</v>
      </c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 t="s">
        <v>143</v>
      </c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</row>
    <row r="48" spans="1:34">
      <c r="A48" s="3" t="s">
        <v>144</v>
      </c>
      <c r="B48" s="3" t="s">
        <v>54</v>
      </c>
      <c r="C48" s="25" t="s">
        <v>145</v>
      </c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</row>
    <row r="49" spans="1:34">
      <c r="A49" s="3" t="s">
        <v>146</v>
      </c>
      <c r="B49" s="3" t="s">
        <v>54</v>
      </c>
      <c r="C49" s="25" t="s">
        <v>147</v>
      </c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</row>
    <row r="50" spans="1:34">
      <c r="A50" s="3" t="s">
        <v>148</v>
      </c>
      <c r="B50" s="3" t="s">
        <v>54</v>
      </c>
      <c r="C50" s="25" t="s">
        <v>149</v>
      </c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</row>
    <row r="51" spans="1:34">
      <c r="A51" s="3" t="s">
        <v>150</v>
      </c>
      <c r="B51" s="3" t="s">
        <v>54</v>
      </c>
      <c r="C51" s="25" t="s">
        <v>151</v>
      </c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</row>
    <row r="52" spans="1:34">
      <c r="A52" s="3" t="s">
        <v>152</v>
      </c>
      <c r="B52" s="3" t="s">
        <v>54</v>
      </c>
      <c r="C52" s="25" t="s">
        <v>153</v>
      </c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</row>
    <row r="53" spans="1:34">
      <c r="A53" s="3" t="s">
        <v>154</v>
      </c>
      <c r="B53" s="3" t="s">
        <v>54</v>
      </c>
      <c r="C53" s="25" t="s">
        <v>155</v>
      </c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</row>
    <row r="54" spans="1:34">
      <c r="A54" s="3" t="s">
        <v>156</v>
      </c>
      <c r="B54" s="3" t="s">
        <v>54</v>
      </c>
      <c r="C54" s="25" t="s">
        <v>157</v>
      </c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</row>
    <row r="55" spans="1:34">
      <c r="A55" s="3" t="s">
        <v>158</v>
      </c>
      <c r="B55" s="3" t="s">
        <v>54</v>
      </c>
      <c r="C55" s="25" t="s">
        <v>159</v>
      </c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</row>
    <row r="56" spans="1:34">
      <c r="A56" s="3" t="s">
        <v>160</v>
      </c>
      <c r="B56" s="3" t="s">
        <v>54</v>
      </c>
      <c r="C56" s="25" t="s">
        <v>161</v>
      </c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</row>
    <row r="57" spans="1:34">
      <c r="A57" s="3" t="s">
        <v>162</v>
      </c>
      <c r="B57" s="3" t="s">
        <v>54</v>
      </c>
      <c r="C57" s="25" t="s">
        <v>163</v>
      </c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</row>
    <row r="58" spans="1:34">
      <c r="A58" s="3" t="s">
        <v>164</v>
      </c>
      <c r="B58" s="3" t="s">
        <v>54</v>
      </c>
      <c r="C58" s="25" t="s">
        <v>165</v>
      </c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</row>
    <row r="59" spans="1:34">
      <c r="A59" s="3" t="s">
        <v>166</v>
      </c>
      <c r="B59" s="3" t="s">
        <v>54</v>
      </c>
      <c r="C59" s="25" t="s">
        <v>167</v>
      </c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</row>
    <row r="60" ht="27" spans="1:34">
      <c r="A60" s="3" t="s">
        <v>168</v>
      </c>
      <c r="B60" s="3" t="s">
        <v>54</v>
      </c>
      <c r="C60" s="2" t="s">
        <v>169</v>
      </c>
      <c r="D60" s="2" t="s">
        <v>170</v>
      </c>
      <c r="E60" s="2" t="s">
        <v>171</v>
      </c>
      <c r="F60" s="2" t="s">
        <v>172</v>
      </c>
      <c r="G60" s="2" t="s">
        <v>173</v>
      </c>
      <c r="H60" s="2" t="s">
        <v>174</v>
      </c>
      <c r="I60" s="2" t="s">
        <v>175</v>
      </c>
      <c r="J60" s="2" t="s">
        <v>176</v>
      </c>
      <c r="K60" s="2" t="s">
        <v>177</v>
      </c>
      <c r="L60" s="2" t="s">
        <v>178</v>
      </c>
      <c r="M60" s="3" t="s">
        <v>179</v>
      </c>
      <c r="N60" s="3" t="s">
        <v>180</v>
      </c>
      <c r="O60" s="3" t="s">
        <v>181</v>
      </c>
      <c r="P60" s="3" t="s">
        <v>182</v>
      </c>
      <c r="Q60" s="3" t="s">
        <v>183</v>
      </c>
      <c r="R60" s="3" t="s">
        <v>20</v>
      </c>
      <c r="S60" s="3" t="s">
        <v>20</v>
      </c>
      <c r="T60" s="3" t="s">
        <v>20</v>
      </c>
      <c r="U60" s="3" t="s">
        <v>20</v>
      </c>
      <c r="V60" s="3" t="s">
        <v>20</v>
      </c>
      <c r="W60" s="3" t="s">
        <v>20</v>
      </c>
      <c r="X60" s="3" t="s">
        <v>20</v>
      </c>
      <c r="Y60" s="3" t="s">
        <v>20</v>
      </c>
      <c r="Z60" s="3" t="s">
        <v>20</v>
      </c>
      <c r="AA60" s="3" t="s">
        <v>20</v>
      </c>
      <c r="AB60" s="3" t="s">
        <v>20</v>
      </c>
      <c r="AC60" s="3" t="s">
        <v>20</v>
      </c>
      <c r="AD60" s="3" t="s">
        <v>20</v>
      </c>
      <c r="AE60" s="3" t="s">
        <v>20</v>
      </c>
      <c r="AF60" s="3" t="s">
        <v>20</v>
      </c>
      <c r="AG60" s="3" t="s">
        <v>20</v>
      </c>
      <c r="AH60" s="3" t="s">
        <v>20</v>
      </c>
    </row>
    <row r="62" spans="1:12">
      <c r="A62" s="26" t="s">
        <v>184</v>
      </c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32"/>
    </row>
    <row r="63" spans="1:12">
      <c r="A63" s="28" t="s">
        <v>185</v>
      </c>
      <c r="B63" s="28"/>
      <c r="C63" s="29" t="s">
        <v>186</v>
      </c>
      <c r="D63" s="29"/>
      <c r="E63" s="30" t="s">
        <v>187</v>
      </c>
      <c r="F63" s="31"/>
      <c r="G63" s="31"/>
      <c r="H63" s="31"/>
      <c r="I63" s="31"/>
      <c r="J63" s="31"/>
      <c r="K63" s="31"/>
      <c r="L63" s="33"/>
    </row>
    <row r="64" ht="82" customHeight="1" spans="1:12">
      <c r="A64" s="23" t="s">
        <v>188</v>
      </c>
      <c r="B64" s="23"/>
      <c r="C64" s="23" t="s">
        <v>5</v>
      </c>
      <c r="D64" s="23"/>
      <c r="E64" s="23" t="s">
        <v>189</v>
      </c>
      <c r="F64" s="23"/>
      <c r="G64" s="23"/>
      <c r="H64" s="23"/>
      <c r="I64" s="23"/>
      <c r="J64" s="23"/>
      <c r="K64" s="23"/>
      <c r="L64" s="23"/>
    </row>
    <row r="65" spans="1:12">
      <c r="A65" s="25" t="s">
        <v>190</v>
      </c>
      <c r="B65" s="25"/>
      <c r="C65" s="25" t="s">
        <v>191</v>
      </c>
      <c r="D65" s="25"/>
      <c r="E65" s="25" t="s">
        <v>192</v>
      </c>
      <c r="F65" s="25"/>
      <c r="G65" s="25"/>
      <c r="H65" s="25"/>
      <c r="I65" s="25"/>
      <c r="J65" s="25"/>
      <c r="K65" s="25"/>
      <c r="L65" s="25"/>
    </row>
    <row r="66" spans="1:12">
      <c r="A66" s="25"/>
      <c r="B66" s="25"/>
      <c r="C66" s="25" t="s">
        <v>193</v>
      </c>
      <c r="D66" s="25"/>
      <c r="E66" s="25" t="s">
        <v>194</v>
      </c>
      <c r="F66" s="25"/>
      <c r="G66" s="25"/>
      <c r="H66" s="25"/>
      <c r="I66" s="25"/>
      <c r="J66" s="25"/>
      <c r="K66" s="25"/>
      <c r="L66" s="25"/>
    </row>
    <row r="67" spans="1:12">
      <c r="A67" s="25"/>
      <c r="B67" s="25"/>
      <c r="C67" s="25" t="s">
        <v>195</v>
      </c>
      <c r="D67" s="25"/>
      <c r="E67" s="25" t="s">
        <v>196</v>
      </c>
      <c r="F67" s="25"/>
      <c r="G67" s="25"/>
      <c r="H67" s="25"/>
      <c r="I67" s="25"/>
      <c r="J67" s="25"/>
      <c r="K67" s="25"/>
      <c r="L67" s="25"/>
    </row>
  </sheetData>
  <mergeCells count="106">
    <mergeCell ref="C1:AH1"/>
    <mergeCell ref="C3:E3"/>
    <mergeCell ref="C4:R4"/>
    <mergeCell ref="S4:AH4"/>
    <mergeCell ref="C5:R5"/>
    <mergeCell ref="S5:AH5"/>
    <mergeCell ref="C6:R6"/>
    <mergeCell ref="S6:AH6"/>
    <mergeCell ref="C7:R7"/>
    <mergeCell ref="S7:AH7"/>
    <mergeCell ref="C8:R8"/>
    <mergeCell ref="S8:AH8"/>
    <mergeCell ref="C9:R9"/>
    <mergeCell ref="S9:AH9"/>
    <mergeCell ref="C10:R10"/>
    <mergeCell ref="S10:AH10"/>
    <mergeCell ref="C11:R11"/>
    <mergeCell ref="S11:AH11"/>
    <mergeCell ref="C12:R12"/>
    <mergeCell ref="S12:AH12"/>
    <mergeCell ref="C13:R13"/>
    <mergeCell ref="S13:AH13"/>
    <mergeCell ref="C14:R14"/>
    <mergeCell ref="S14:Z14"/>
    <mergeCell ref="AA14:AD14"/>
    <mergeCell ref="AE14:AH14"/>
    <mergeCell ref="C15:R15"/>
    <mergeCell ref="S15:Z15"/>
    <mergeCell ref="AA15:AD15"/>
    <mergeCell ref="AE15:AH15"/>
    <mergeCell ref="C16:R16"/>
    <mergeCell ref="S16:Z16"/>
    <mergeCell ref="AA16:AD16"/>
    <mergeCell ref="AE16:AH16"/>
    <mergeCell ref="C17:R17"/>
    <mergeCell ref="S17:Z17"/>
    <mergeCell ref="AA17:AD17"/>
    <mergeCell ref="AE17:AH17"/>
    <mergeCell ref="C18:AH18"/>
    <mergeCell ref="C19:AH19"/>
    <mergeCell ref="C20:AH20"/>
    <mergeCell ref="C21:AH21"/>
    <mergeCell ref="C22:AH22"/>
    <mergeCell ref="C23:AH23"/>
    <mergeCell ref="C24:AH24"/>
    <mergeCell ref="C25:AH25"/>
    <mergeCell ref="C26:AH26"/>
    <mergeCell ref="C27:AH27"/>
    <mergeCell ref="C28:AH28"/>
    <mergeCell ref="C29:AH29"/>
    <mergeCell ref="C30:AH30"/>
    <mergeCell ref="C31:AH31"/>
    <mergeCell ref="C32:R32"/>
    <mergeCell ref="S32:AH32"/>
    <mergeCell ref="C33:AH33"/>
    <mergeCell ref="C34:R34"/>
    <mergeCell ref="S34:AH34"/>
    <mergeCell ref="C35:AH35"/>
    <mergeCell ref="C36:R36"/>
    <mergeCell ref="S36:AH36"/>
    <mergeCell ref="C37:AH37"/>
    <mergeCell ref="C38:R38"/>
    <mergeCell ref="S38:AH38"/>
    <mergeCell ref="C39:AH39"/>
    <mergeCell ref="C40:R40"/>
    <mergeCell ref="S40:AH40"/>
    <mergeCell ref="C41:AH41"/>
    <mergeCell ref="C42:R42"/>
    <mergeCell ref="S42:AH42"/>
    <mergeCell ref="C43:AH43"/>
    <mergeCell ref="C44:R44"/>
    <mergeCell ref="S44:AH44"/>
    <mergeCell ref="C45:R45"/>
    <mergeCell ref="S45:AH45"/>
    <mergeCell ref="C46:R46"/>
    <mergeCell ref="S46:AH46"/>
    <mergeCell ref="C47:R47"/>
    <mergeCell ref="S47:AH47"/>
    <mergeCell ref="C48:AH48"/>
    <mergeCell ref="C49:AH49"/>
    <mergeCell ref="C50:AH50"/>
    <mergeCell ref="C51:AH51"/>
    <mergeCell ref="C52:AH52"/>
    <mergeCell ref="C53:AH53"/>
    <mergeCell ref="C54:AH54"/>
    <mergeCell ref="C55:AH55"/>
    <mergeCell ref="C56:AH56"/>
    <mergeCell ref="C57:AH57"/>
    <mergeCell ref="C58:AH58"/>
    <mergeCell ref="C59:AH59"/>
    <mergeCell ref="A62:L62"/>
    <mergeCell ref="A63:B63"/>
    <mergeCell ref="C63:D63"/>
    <mergeCell ref="E63:L63"/>
    <mergeCell ref="A64:B64"/>
    <mergeCell ref="C64:D64"/>
    <mergeCell ref="E64:L64"/>
    <mergeCell ref="C65:D65"/>
    <mergeCell ref="E65:L65"/>
    <mergeCell ref="C66:D66"/>
    <mergeCell ref="E66:L66"/>
    <mergeCell ref="C67:D67"/>
    <mergeCell ref="E67:L67"/>
    <mergeCell ref="A1:A2"/>
    <mergeCell ref="B1:B2"/>
    <mergeCell ref="A65:B6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15"/>
  <sheetViews>
    <sheetView tabSelected="1" workbookViewId="0">
      <selection activeCell="K30" sqref="K30"/>
    </sheetView>
  </sheetViews>
  <sheetFormatPr defaultColWidth="9" defaultRowHeight="13.5"/>
  <sheetData>
    <row r="1" spans="1:17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" t="s">
        <v>198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>
      <c r="A4" s="4" t="s">
        <v>199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16"/>
    </row>
    <row r="5" spans="1:17">
      <c r="A5" s="6" t="str">
        <f>_xlfn.DISPIMG("ID_0C35E0D5F9FD45CEB48794A529DEE540",1)</f>
        <v>=DISPIMG("ID_0C35E0D5F9FD45CEB48794A529DEE540",1)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17"/>
    </row>
    <row r="6" spans="1:17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18"/>
    </row>
    <row r="7" spans="1:17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18"/>
    </row>
    <row r="8" spans="1:17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8"/>
    </row>
    <row r="9" spans="1:17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9"/>
    </row>
    <row r="10" spans="1:17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20"/>
    </row>
    <row r="11" spans="1:17">
      <c r="A11" s="4" t="s">
        <v>200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6"/>
    </row>
    <row r="12" spans="1:17">
      <c r="A12" s="14" t="s">
        <v>201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21"/>
    </row>
    <row r="13" spans="1:17">
      <c r="A13" s="14" t="s">
        <v>202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21"/>
    </row>
    <row r="14" spans="1:17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20"/>
    </row>
    <row r="15" spans="1:17">
      <c r="A15" s="14" t="s">
        <v>203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21"/>
    </row>
  </sheetData>
  <mergeCells count="10">
    <mergeCell ref="A1:Q1"/>
    <mergeCell ref="A4:Q4"/>
    <mergeCell ref="A10:Q10"/>
    <mergeCell ref="A11:Q11"/>
    <mergeCell ref="A12:Q12"/>
    <mergeCell ref="A13:Q13"/>
    <mergeCell ref="A14:Q14"/>
    <mergeCell ref="A15:Q15"/>
    <mergeCell ref="A2:Q3"/>
    <mergeCell ref="A5:Q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寄存器列表</vt:lpstr>
      <vt:lpstr>通信协议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陈良智</dc:creator>
  <cp:lastModifiedBy>chenliangzhi</cp:lastModifiedBy>
  <dcterms:created xsi:type="dcterms:W3CDTF">2023-05-12T11:15:00Z</dcterms:created>
  <dcterms:modified xsi:type="dcterms:W3CDTF">2026-05-21T07:53:54Z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2052-12.8.2.19315</vt:lpwstr>
  </property>
  <property fmtid="{D5CDD505-2E9C-101B-9397-08002B2CF9AE}" pid="3" name="ICV">
    <vt:lpwstr>5F8B69F8C31149D08F51B8D62CC61B29_12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